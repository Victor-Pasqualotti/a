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cto\Downloads\"/>
    </mc:Choice>
  </mc:AlternateContent>
  <xr:revisionPtr revIDLastSave="0" documentId="13_ncr:1_{E77F7EF1-FA43-4F09-B876-079799437BB1}" xr6:coauthVersionLast="47" xr6:coauthVersionMax="47" xr10:uidLastSave="{00000000-0000-0000-0000-000000000000}"/>
  <bookViews>
    <workbookView xWindow="-108" yWindow="-108" windowWidth="23256" windowHeight="12456" xr2:uid="{14898BB0-90A0-4465-B2B9-FD489341B4D3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5" i="1" l="1"/>
  <c r="T5" i="1"/>
  <c r="U8" i="1"/>
  <c r="U7" i="1"/>
  <c r="U6" i="1"/>
  <c r="T8" i="1"/>
  <c r="T7" i="1"/>
  <c r="T6" i="1"/>
  <c r="M5" i="1"/>
  <c r="L5" i="1"/>
  <c r="K8" i="1"/>
  <c r="K5" i="1" s="1"/>
  <c r="K7" i="1"/>
  <c r="S7" i="1" s="1"/>
  <c r="K6" i="1"/>
  <c r="S6" i="1" s="1"/>
  <c r="S8" i="1" l="1"/>
  <c r="S5" i="1" l="1"/>
</calcChain>
</file>

<file path=xl/sharedStrings.xml><?xml version="1.0" encoding="utf-8"?>
<sst xmlns="http://schemas.openxmlformats.org/spreadsheetml/2006/main" count="33" uniqueCount="14">
  <si>
    <t>Categoria</t>
  </si>
  <si>
    <t>Familia</t>
  </si>
  <si>
    <t>Modulo</t>
  </si>
  <si>
    <t>Tempo</t>
  </si>
  <si>
    <t>DPUs</t>
  </si>
  <si>
    <t>Tabelas</t>
  </si>
  <si>
    <t>X</t>
  </si>
  <si>
    <t>Y</t>
  </si>
  <si>
    <t>P1</t>
  </si>
  <si>
    <t>P2</t>
  </si>
  <si>
    <t>P3</t>
  </si>
  <si>
    <t>insm</t>
  </si>
  <si>
    <t>StartTime</t>
  </si>
  <si>
    <t>eleg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</si>
</sst>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h:mm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166" fontId="0" fillId="0" borderId="0" xfId="0" applyNumberFormat="1"/>
    <xf numFmtId="0" fontId="0" fillId="0" borderId="1" xfId="0" applyBorder="1" applyAlignment="1">
      <alignment horizontal="center"/>
    </xf>
    <xf numFmtId="166" fontId="0" fillId="0" borderId="1" xfId="0" applyNumberFormat="1" applyBorder="1" applyAlignment="1">
      <alignment horizontal="center"/>
    </xf>
    <xf numFmtId="21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938AF-FF1E-4001-B0F9-D8D9F11D74B1}">
  <dimension ref="B1:U9"/>
  <sheetViews>
    <sheetView showGridLines="0" tabSelected="1" workbookViewId="0"/>
  </sheetViews>
  <sheetFormatPr defaultRowHeight="14.4" x14ac:dyDescent="0.3"/>
  <cols>
    <col min="6" max="6" width="1.88671875" customWidth="1"/>
    <col min="10" max="10" width="1.6640625" customWidth="1"/>
    <col min="12" max="13" width="11.6640625" bestFit="1" customWidth="1"/>
    <col min="14" max="14" width="1.44140625" customWidth="1"/>
    <col min="18" max="18" width="1.77734375" customWidth="1"/>
    <col min="20" max="21" width="11.6640625" bestFit="1" customWidth="1"/>
  </cols>
  <sheetData>
    <row r="1" spans="2:21" x14ac:dyDescent="0.3">
      <c r="G1" t="s">
        <v>4</v>
      </c>
      <c r="H1">
        <v>1000</v>
      </c>
    </row>
    <row r="2" spans="2:21" x14ac:dyDescent="0.3">
      <c r="G2" t="s">
        <v>5</v>
      </c>
      <c r="H2">
        <v>150</v>
      </c>
    </row>
    <row r="4" spans="2:21" x14ac:dyDescent="0.3">
      <c r="G4" s="3" t="s">
        <v>11</v>
      </c>
      <c r="H4" s="3" t="s">
        <v>11</v>
      </c>
      <c r="I4" s="3" t="s">
        <v>11</v>
      </c>
      <c r="K4" s="3" t="s">
        <v>3</v>
      </c>
      <c r="L4" s="3" t="s">
        <v>4</v>
      </c>
      <c r="M4" s="3" t="s">
        <v>5</v>
      </c>
      <c r="O4" s="3" t="s">
        <v>13</v>
      </c>
      <c r="P4" s="3" t="s">
        <v>13</v>
      </c>
      <c r="Q4" s="3" t="s">
        <v>13</v>
      </c>
      <c r="S4" s="3" t="s">
        <v>3</v>
      </c>
      <c r="T4" s="3" t="s">
        <v>4</v>
      </c>
      <c r="U4" s="3" t="s">
        <v>5</v>
      </c>
    </row>
    <row r="5" spans="2:21" x14ac:dyDescent="0.3">
      <c r="B5" s="3" t="s">
        <v>0</v>
      </c>
      <c r="C5" s="3" t="s">
        <v>1</v>
      </c>
      <c r="D5" s="3" t="s">
        <v>2</v>
      </c>
      <c r="E5" s="3" t="s">
        <v>12</v>
      </c>
      <c r="G5" s="3" t="s">
        <v>3</v>
      </c>
      <c r="H5" s="3" t="s">
        <v>4</v>
      </c>
      <c r="I5" s="3" t="s">
        <v>5</v>
      </c>
      <c r="K5" s="4">
        <f>LARGE(K6:K8,1)</f>
        <v>0.26841435185185186</v>
      </c>
      <c r="L5" s="3" t="b">
        <f>$H$1&gt;=SUM(H6:H8)</f>
        <v>1</v>
      </c>
      <c r="M5" s="3" t="b">
        <f>$H$2&gt;=SUM(I6:I8)</f>
        <v>1</v>
      </c>
      <c r="O5" s="3" t="s">
        <v>3</v>
      </c>
      <c r="P5" s="3" t="s">
        <v>4</v>
      </c>
      <c r="Q5" s="3" t="s">
        <v>5</v>
      </c>
      <c r="S5" s="4">
        <f>LARGE(S6:S8,1)</f>
        <v>0.36252314814814818</v>
      </c>
      <c r="T5" s="3" t="b">
        <f>$H$1&gt;=SUM(P6:P8,LARGE(T6:T8,1))</f>
        <v>1</v>
      </c>
      <c r="U5" s="3" t="b">
        <f>$H$2&gt;=SUM(Q6:Q8,LARGE(U6:U8,1))</f>
        <v>1</v>
      </c>
    </row>
    <row r="6" spans="2:21" x14ac:dyDescent="0.3">
      <c r="B6" s="3" t="s">
        <v>6</v>
      </c>
      <c r="C6" s="3" t="s">
        <v>7</v>
      </c>
      <c r="D6" s="3" t="s">
        <v>8</v>
      </c>
      <c r="E6" s="5">
        <v>0.20833333333333334</v>
      </c>
      <c r="G6" s="4">
        <v>6.008101851851852E-2</v>
      </c>
      <c r="H6" s="3">
        <v>217</v>
      </c>
      <c r="I6" s="3">
        <v>27</v>
      </c>
      <c r="K6" s="4">
        <f>SUM(E6,G6)</f>
        <v>0.26841435185185186</v>
      </c>
      <c r="L6" s="3"/>
      <c r="M6" s="3"/>
      <c r="O6" s="4">
        <v>9.4108796296296301E-2</v>
      </c>
      <c r="P6" s="3">
        <v>230</v>
      </c>
      <c r="Q6" s="3">
        <v>50</v>
      </c>
      <c r="S6" s="4">
        <f>SUM(K6,O6)</f>
        <v>0.36252314814814818</v>
      </c>
      <c r="T6" s="3">
        <f>IF(K6&lt;K$5,INDEX(H$6:H$8,MATCH(K$5,K$6:K$8,0)),0)</f>
        <v>0</v>
      </c>
      <c r="U6" s="3">
        <f>IF(K6&lt;K$5,INDEX(I$6:I$8,MATCH(K$5,K$6:K$8,0)),0)</f>
        <v>0</v>
      </c>
    </row>
    <row r="7" spans="2:21" x14ac:dyDescent="0.3">
      <c r="B7" s="3" t="s">
        <v>6</v>
      </c>
      <c r="C7" s="3" t="s">
        <v>7</v>
      </c>
      <c r="D7" s="3" t="s">
        <v>9</v>
      </c>
      <c r="E7" s="5">
        <v>0.20833333333333334</v>
      </c>
      <c r="G7" s="4">
        <v>2.1030092592592593E-2</v>
      </c>
      <c r="H7" s="3">
        <v>131</v>
      </c>
      <c r="I7" s="3">
        <v>15</v>
      </c>
      <c r="K7" s="4">
        <f t="shared" ref="K7:K8" si="0">SUM(E7,G7)</f>
        <v>0.22936342592592593</v>
      </c>
      <c r="L7" s="3"/>
      <c r="M7" s="3"/>
      <c r="O7" s="4">
        <v>3.8391203703703705E-2</v>
      </c>
      <c r="P7" s="3">
        <v>150</v>
      </c>
      <c r="Q7" s="3">
        <v>20</v>
      </c>
      <c r="S7" s="4">
        <f>SUM(K7,O7)</f>
        <v>0.26775462962962965</v>
      </c>
      <c r="T7" s="3">
        <f t="shared" ref="T7:T8" si="1">IF(K7&lt;K$5,INDEX(H$6:H$8,MATCH(K$5,K$6:K$8,0)),0)</f>
        <v>217</v>
      </c>
      <c r="U7" s="3">
        <f t="shared" ref="U7:U8" si="2">IF(K7&lt;K$5,INDEX(I$6:I$8,MATCH(K$5,K$6:K$8,0)),0)</f>
        <v>27</v>
      </c>
    </row>
    <row r="8" spans="2:21" x14ac:dyDescent="0.3">
      <c r="B8" s="3" t="s">
        <v>6</v>
      </c>
      <c r="C8" s="3" t="s">
        <v>7</v>
      </c>
      <c r="D8" s="3" t="s">
        <v>10</v>
      </c>
      <c r="E8" s="5">
        <v>0.20833333333333334</v>
      </c>
      <c r="G8" s="4">
        <v>2.1030092592592593E-2</v>
      </c>
      <c r="H8" s="3">
        <v>240</v>
      </c>
      <c r="I8" s="3">
        <v>25</v>
      </c>
      <c r="K8" s="4">
        <f t="shared" si="0"/>
        <v>0.22936342592592593</v>
      </c>
      <c r="L8" s="3"/>
      <c r="M8" s="3"/>
      <c r="O8" s="4">
        <v>5.6099537037037038E-2</v>
      </c>
      <c r="P8" s="3">
        <v>240</v>
      </c>
      <c r="Q8" s="3">
        <v>35</v>
      </c>
      <c r="S8" s="4">
        <f>SUM(K8,O8)</f>
        <v>0.28546296296296297</v>
      </c>
      <c r="T8" s="3">
        <f t="shared" si="1"/>
        <v>217</v>
      </c>
      <c r="U8" s="3">
        <f t="shared" si="2"/>
        <v>27</v>
      </c>
    </row>
    <row r="9" spans="2:21" x14ac:dyDescent="0.3">
      <c r="G9" s="2"/>
      <c r="H9" s="1"/>
      <c r="I9" s="1"/>
      <c r="O9" s="2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Pasqualotti Baptista</dc:creator>
  <cp:lastModifiedBy>Victor Pasqualotti Baptista</cp:lastModifiedBy>
  <dcterms:created xsi:type="dcterms:W3CDTF">2025-12-09T01:17:22Z</dcterms:created>
  <dcterms:modified xsi:type="dcterms:W3CDTF">2025-12-09T01:55:18Z</dcterms:modified>
</cp:coreProperties>
</file>