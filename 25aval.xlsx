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Downloads\Avaliação\"/>
    </mc:Choice>
  </mc:AlternateContent>
  <xr:revisionPtr revIDLastSave="0" documentId="13_ncr:1_{89AFA59A-808A-49C8-9E94-FB2F7025AE87}" xr6:coauthVersionLast="47" xr6:coauthVersionMax="47" xr10:uidLastSave="{00000000-0000-0000-0000-000000000000}"/>
  <bookViews>
    <workbookView xWindow="-28920" yWindow="-120" windowWidth="29040" windowHeight="15720" xr2:uid="{11FD861A-97A5-4EF5-BC39-78A249D1A752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1" l="1"/>
  <c r="V2" i="1"/>
  <c r="Q2" i="1"/>
  <c r="L2" i="1"/>
  <c r="G2" i="1"/>
  <c r="AF17" i="1"/>
  <c r="AF16" i="1"/>
  <c r="AF15" i="1"/>
  <c r="AF14" i="1"/>
  <c r="AF13" i="1"/>
  <c r="AF11" i="1"/>
  <c r="AF10" i="1"/>
  <c r="AF8" i="1"/>
  <c r="AF7" i="1"/>
  <c r="AF5" i="1"/>
  <c r="AF4" i="1"/>
  <c r="AF3" i="1"/>
  <c r="AA17" i="1"/>
  <c r="Z17" i="1"/>
  <c r="AA16" i="1"/>
  <c r="Z16" i="1"/>
  <c r="AA15" i="1"/>
  <c r="Z15" i="1"/>
  <c r="AA14" i="1"/>
  <c r="Z14" i="1"/>
  <c r="AA13" i="1"/>
  <c r="Z13" i="1"/>
  <c r="AA11" i="1"/>
  <c r="Z11" i="1"/>
  <c r="AA10" i="1"/>
  <c r="Z10" i="1"/>
  <c r="AA8" i="1"/>
  <c r="Z8" i="1"/>
  <c r="AA7" i="1"/>
  <c r="Z7" i="1"/>
  <c r="AA5" i="1"/>
  <c r="Z5" i="1"/>
  <c r="AA4" i="1"/>
  <c r="Z4" i="1"/>
  <c r="AA3" i="1"/>
  <c r="Z3" i="1"/>
  <c r="V17" i="1"/>
  <c r="U17" i="1"/>
  <c r="V16" i="1"/>
  <c r="U16" i="1"/>
  <c r="V15" i="1"/>
  <c r="U15" i="1"/>
  <c r="V14" i="1"/>
  <c r="U14" i="1"/>
  <c r="V13" i="1"/>
  <c r="U13" i="1"/>
  <c r="V11" i="1"/>
  <c r="U11" i="1"/>
  <c r="V10" i="1"/>
  <c r="U10" i="1"/>
  <c r="V8" i="1"/>
  <c r="U8" i="1"/>
  <c r="V7" i="1"/>
  <c r="U7" i="1"/>
  <c r="V5" i="1"/>
  <c r="U5" i="1"/>
  <c r="V4" i="1"/>
  <c r="U4" i="1"/>
  <c r="V3" i="1"/>
  <c r="U3" i="1"/>
  <c r="Q17" i="1"/>
  <c r="P17" i="1"/>
  <c r="Q16" i="1"/>
  <c r="P16" i="1"/>
  <c r="Q15" i="1"/>
  <c r="P15" i="1"/>
  <c r="Q14" i="1"/>
  <c r="P14" i="1"/>
  <c r="Q13" i="1"/>
  <c r="P13" i="1"/>
  <c r="Q11" i="1"/>
  <c r="P11" i="1"/>
  <c r="Q10" i="1"/>
  <c r="P10" i="1"/>
  <c r="Q8" i="1"/>
  <c r="P8" i="1"/>
  <c r="Q7" i="1"/>
  <c r="P7" i="1"/>
  <c r="Q5" i="1"/>
  <c r="P5" i="1"/>
  <c r="Q4" i="1"/>
  <c r="P4" i="1"/>
  <c r="Q3" i="1"/>
  <c r="P3" i="1"/>
  <c r="L17" i="1"/>
  <c r="K17" i="1"/>
  <c r="L16" i="1"/>
  <c r="K16" i="1"/>
  <c r="L15" i="1"/>
  <c r="K15" i="1"/>
  <c r="L14" i="1"/>
  <c r="K14" i="1"/>
  <c r="L13" i="1"/>
  <c r="K13" i="1"/>
  <c r="L11" i="1"/>
  <c r="K11" i="1"/>
  <c r="L10" i="1"/>
  <c r="K10" i="1"/>
  <c r="L8" i="1"/>
  <c r="K8" i="1"/>
  <c r="L7" i="1"/>
  <c r="K7" i="1"/>
  <c r="L5" i="1"/>
  <c r="K5" i="1"/>
  <c r="L4" i="1"/>
  <c r="K4" i="1"/>
  <c r="L3" i="1"/>
  <c r="K3" i="1"/>
  <c r="G17" i="1"/>
  <c r="F17" i="1"/>
  <c r="G16" i="1"/>
  <c r="F16" i="1"/>
  <c r="G15" i="1"/>
  <c r="F15" i="1"/>
  <c r="G14" i="1"/>
  <c r="F14" i="1"/>
  <c r="G13" i="1"/>
  <c r="F13" i="1"/>
  <c r="G11" i="1"/>
  <c r="F11" i="1"/>
  <c r="G10" i="1"/>
  <c r="F10" i="1"/>
  <c r="G8" i="1"/>
  <c r="F8" i="1"/>
  <c r="G7" i="1"/>
  <c r="F7" i="1"/>
  <c r="G5" i="1"/>
  <c r="F5" i="1"/>
  <c r="G4" i="1"/>
  <c r="F4" i="1"/>
  <c r="G3" i="1"/>
  <c r="F3" i="1"/>
  <c r="AC17" i="1" l="1"/>
  <c r="AD17" i="1"/>
  <c r="AC16" i="1"/>
  <c r="AD16" i="1"/>
  <c r="AC8" i="1"/>
  <c r="AD8" i="1"/>
  <c r="AC10" i="1"/>
  <c r="AD10" i="1"/>
  <c r="AC11" i="1"/>
  <c r="AD11" i="1"/>
  <c r="AC4" i="1"/>
  <c r="AD4" i="1"/>
  <c r="AC5" i="1"/>
  <c r="AC13" i="1"/>
  <c r="AD5" i="1"/>
  <c r="AD13" i="1"/>
  <c r="AC14" i="1"/>
  <c r="AD14" i="1"/>
  <c r="AC7" i="1"/>
  <c r="AC15" i="1"/>
  <c r="AD7" i="1"/>
  <c r="AD15" i="1"/>
  <c r="AD3" i="1"/>
  <c r="AC3" i="1"/>
  <c r="AH4" i="1" l="1"/>
  <c r="AH3" i="1"/>
  <c r="AD2" i="1"/>
</calcChain>
</file>

<file path=xl/sharedStrings.xml><?xml version="1.0" encoding="utf-8"?>
<sst xmlns="http://schemas.openxmlformats.org/spreadsheetml/2006/main" count="93" uniqueCount="62">
  <si>
    <t>Colaborador</t>
  </si>
  <si>
    <t>Cargo</t>
  </si>
  <si>
    <t>A gente trabalha para o cliente</t>
  </si>
  <si>
    <t>Tem obstinação por encantar o cliente</t>
  </si>
  <si>
    <t>Inova a partir das necessidades dos clientes</t>
  </si>
  <si>
    <t>Simplifica sempre</t>
  </si>
  <si>
    <t>Não sabe de tudo</t>
  </si>
  <si>
    <t>Olha pra fora e aprende o tempo todo</t>
  </si>
  <si>
    <t>Estimula ambiente aberto a testes, erros, aprendizados e melhorias</t>
  </si>
  <si>
    <t>Usa dados intensamente para aprender e tomar as melhores decisões</t>
  </si>
  <si>
    <t>É movido a resultados</t>
  </si>
  <si>
    <t>Tem ambição nos objetivos e é eficiente na execução</t>
  </si>
  <si>
    <t>Sempre busca crescimento sustentável</t>
  </si>
  <si>
    <t>Gera impacto positivo para a sociedade</t>
  </si>
  <si>
    <t>Quer diversidade e inclusão</t>
  </si>
  <si>
    <t>Promove a diversidade e inclusão</t>
  </si>
  <si>
    <t>Tem abertura para diferentes pontos de vista</t>
  </si>
  <si>
    <t>Promove um ambiente onde as pessoas podem ser elas mesmas e se expressar de forma transparente</t>
  </si>
  <si>
    <t>Vai de turma</t>
  </si>
  <si>
    <t>Confia e sabe trabalhar com autonomia</t>
  </si>
  <si>
    <t>Ajuda e pede ajuda</t>
  </si>
  <si>
    <t>Age como um só itaú</t>
  </si>
  <si>
    <t>Pergunta geral</t>
  </si>
  <si>
    <t>Melhorar em relação ao grupo OU alinhado OU destaca-se</t>
  </si>
  <si>
    <t>Comentário</t>
  </si>
  <si>
    <t>pratica raramente</t>
  </si>
  <si>
    <t>pratica as vezes</t>
  </si>
  <si>
    <t>pratica na maior parte das vezes</t>
  </si>
  <si>
    <t>pratica sempre</t>
  </si>
  <si>
    <t>pratica sempre e é referência</t>
  </si>
  <si>
    <t>Tirar média por grupo de perguntas</t>
  </si>
  <si>
    <t>Sr</t>
  </si>
  <si>
    <t>Pl</t>
  </si>
  <si>
    <t>Coord</t>
  </si>
  <si>
    <t>Pontuação</t>
  </si>
  <si>
    <t>Soma</t>
  </si>
  <si>
    <t>alinhado</t>
  </si>
  <si>
    <t>destaca-se</t>
  </si>
  <si>
    <t>Larissa de fato pensa no cliente. Compartilha suas opniões, mesmo que fujam do padrão de pensamento do banco, com fim construtivo e provocativo. E busca diversidade e inclusão. Mesmo tendo trabalhado em escopos fora da sua zona de conforto, aprendeu e se desenvolveu entregando um ótimo trabalho.</t>
  </si>
  <si>
    <t>Rafael mesmo sendo novo na empresa, aprendeu sobre a operação, sobre a tecnologia, e executou um projeto importante de IA, que abriram novas portas e possibilidades para a área. Novos projetos virão, e vale a pena se desenvolver do ponto de vista de planejamento e gestão de projetos.</t>
  </si>
  <si>
    <t>Nathani evoluiu e aprendeu muito. Tem um ótimo pensamento crítico e traz bons questionamentos para simplificar problemas e resolver atritos. Muito colaborativa com o clima da área. Sinto que ainda tem medo de errar algumas vezes, fazendo com que espere direcionamento dos líderes ou parceiros.</t>
  </si>
  <si>
    <t>Muito colaborativa. Atuou em direfentes frentes e sempre se faz presente para pares e parceiros. Tem um ótimo pensamento crítico para resolver problemas e atritos. Pode desenvolver ainda mais sua confianaça de propor e fazer provocações, gerando exposição e projetos que podem impulsiona-la mais.</t>
  </si>
  <si>
    <t>Excelente trabalho em CRM. Entende o contexto e é o coordenador mais próximo que tive nos últimos tempos. Se desenvolve na gestão de pessoas, mesmo que por fora, trazendo novas possibilidades para os colaboradores que lidera. Gerir é tomar decisões, saber quais batalhas vai brigar.</t>
  </si>
  <si>
    <t>Guilherme tem um conhecimento descomunal sobre o negócio. Trabalhou em diversas frentes, trazendo soluções para diferentes problemas e destravando o time quando necessário. Tem desenvolvido sua parte técnica, inclusive estudando por fora. É perceptível que o time o vê como um pilar.</t>
  </si>
  <si>
    <t>Henrique mesmo sendo novo na empresa, aprendeu e ganhou autonomia com velocidade. Colabora com o time e constrói bons relacionamentos com parceiros e líderes. Tem um ótimo pensamento crítico, para pensar em soluções e propor ideias. Ainda tem potencial a ser explorado e se desenvolver ainda mais.</t>
  </si>
  <si>
    <t>Um verdadeiro profissional multitarefa. Tem domínio para executar e faz isso com autonomia. Colabora com o clima da área e ajuda os colegas constantemente. Sinto que lhe falta um projeto para gerir e chamar de seu, no qual se torne referência e possa mostrar impacto inquestionável.</t>
  </si>
  <si>
    <t>Velocidade incrível para aprender e evoluir, com uma organização impecável ela consegue dominar os temas que toca. Se ela aprende, ela ensina e compartilha conhecimento. Constrói bons relacionamentos e é muito comunicativa. Continue evoluindo a habilidade de tomar decisões estratégicas por sí.</t>
  </si>
  <si>
    <t>Construí bons relacionamentos. Liderança no projeto de modernização da MC com presentações, negociações e decisões. Atuação com pouca ou nenhuma supervisão. Execução de arquitetura, planejamento do Forecast de custos em cloud e análise de oportunidades. Treinamento de pessoas. POC IBM e Warmer.</t>
  </si>
  <si>
    <t>Nova na empresa, lidou com produtos e projetos complexos com maestria. Prioriza e simplifica sempre. Muito colaborativa com o time e traz opniões construtivas mesmo que fujam do padrão dos pares. Você faz coisas difíceis, por isso vai ser difícil mesmo. Mas o ponto é: você quem consegue fazer.</t>
  </si>
  <si>
    <t>Gabi</t>
  </si>
  <si>
    <t>Gui</t>
  </si>
  <si>
    <t>Marcao</t>
  </si>
  <si>
    <t>Lari</t>
  </si>
  <si>
    <t>Rick</t>
  </si>
  <si>
    <t>Rafa</t>
  </si>
  <si>
    <t>Joao</t>
  </si>
  <si>
    <t>Na</t>
  </si>
  <si>
    <t>Nic</t>
  </si>
  <si>
    <t>Tai</t>
  </si>
  <si>
    <t>Juliao</t>
  </si>
  <si>
    <t>Eu</t>
  </si>
  <si>
    <t>Traz soluções criativas e sustentáveis. A metodologia que criou para a MC foi a base para a modernização em AWS. Traz ideias inovadoras, que pode vender melhor, linkando com pessoas e "timing". Relacionamentos são importantes. Procure oportunidades para se tornar referência para pares e parceiros.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</si>
</sst>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.0_-;\-* #,##0.0_-;_-* &quot;-&quot;??_-;_-@_-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3" fillId="0" borderId="1" xfId="0" applyFont="1" applyBorder="1"/>
    <xf numFmtId="0" fontId="4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5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5" borderId="1" xfId="0" applyFill="1" applyBorder="1" applyAlignment="1">
      <alignment horizontal="center" vertical="center"/>
    </xf>
    <xf numFmtId="165" fontId="0" fillId="5" borderId="1" xfId="1" applyNumberFormat="1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5" fontId="0" fillId="8" borderId="1" xfId="1" applyNumberFormat="1" applyFont="1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65" fontId="0" fillId="5" borderId="4" xfId="1" applyNumberFormat="1" applyFont="1" applyFill="1" applyBorder="1" applyAlignment="1">
      <alignment horizontal="center" vertical="center"/>
    </xf>
    <xf numFmtId="164" fontId="0" fillId="5" borderId="4" xfId="0" applyNumberForma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165" fontId="0" fillId="5" borderId="5" xfId="1" applyNumberFormat="1" applyFont="1" applyFill="1" applyBorder="1" applyAlignment="1">
      <alignment horizontal="center" vertical="center"/>
    </xf>
    <xf numFmtId="164" fontId="0" fillId="5" borderId="5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5" borderId="5" xfId="0" applyFill="1" applyBorder="1" applyAlignment="1">
      <alignment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5" fontId="6" fillId="7" borderId="1" xfId="1" applyNumberFormat="1" applyFont="1" applyFill="1" applyBorder="1" applyAlignment="1">
      <alignment horizontal="center" wrapText="1"/>
    </xf>
    <xf numFmtId="165" fontId="0" fillId="0" borderId="0" xfId="1" applyNumberFormat="1" applyFont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11330-2AB1-45EB-8A03-F9C90502B0E4}">
  <dimension ref="A1:AH17"/>
  <sheetViews>
    <sheetView showGridLines="0" tabSelected="1" topLeftCell="A4" zoomScale="80" zoomScaleNormal="80" workbookViewId="0">
      <pane xSplit="1" topLeftCell="T1" activePane="topRight" state="frozen"/>
      <selection pane="topRight" activeCell="AH5" sqref="AH5"/>
    </sheetView>
  </sheetViews>
  <sheetFormatPr defaultRowHeight="14.4" x14ac:dyDescent="0.3"/>
  <cols>
    <col min="1" max="1" width="30.44140625" style="26" customWidth="1"/>
    <col min="2" max="2" width="11" style="35" customWidth="1"/>
    <col min="3" max="5" width="30.44140625" customWidth="1"/>
    <col min="6" max="6" width="6.21875" customWidth="1"/>
    <col min="7" max="7" width="7.44140625" bestFit="1" customWidth="1"/>
    <col min="8" max="10" width="30.44140625" customWidth="1"/>
    <col min="11" max="11" width="6.21875" customWidth="1"/>
    <col min="12" max="12" width="7.44140625" bestFit="1" customWidth="1"/>
    <col min="13" max="15" width="30.44140625" customWidth="1"/>
    <col min="16" max="16" width="6.21875" customWidth="1"/>
    <col min="17" max="17" width="7.44140625" bestFit="1" customWidth="1"/>
    <col min="18" max="20" width="30.44140625" customWidth="1"/>
    <col min="21" max="21" width="6.21875" customWidth="1"/>
    <col min="22" max="22" width="7.44140625" bestFit="1" customWidth="1"/>
    <col min="23" max="25" width="30.44140625" customWidth="1"/>
    <col min="26" max="26" width="6.21875" customWidth="1"/>
    <col min="27" max="27" width="7.44140625" bestFit="1" customWidth="1"/>
    <col min="28" max="28" width="30.44140625" customWidth="1"/>
    <col min="29" max="29" width="6.21875" customWidth="1"/>
    <col min="30" max="30" width="7.44140625" bestFit="1" customWidth="1"/>
    <col min="31" max="31" width="79.44140625" customWidth="1"/>
    <col min="32" max="32" width="8.88671875" style="29"/>
  </cols>
  <sheetData>
    <row r="1" spans="1:34" s="2" customFormat="1" ht="18" x14ac:dyDescent="0.35">
      <c r="A1" s="36"/>
      <c r="B1" s="30"/>
      <c r="C1" s="41" t="s">
        <v>2</v>
      </c>
      <c r="D1" s="41"/>
      <c r="E1" s="41"/>
      <c r="F1" s="37" t="s">
        <v>34</v>
      </c>
      <c r="G1" s="38"/>
      <c r="H1" s="41" t="s">
        <v>6</v>
      </c>
      <c r="I1" s="41"/>
      <c r="J1" s="41"/>
      <c r="K1" s="37" t="s">
        <v>34</v>
      </c>
      <c r="L1" s="38"/>
      <c r="M1" s="41" t="s">
        <v>10</v>
      </c>
      <c r="N1" s="41"/>
      <c r="O1" s="41"/>
      <c r="P1" s="37" t="s">
        <v>34</v>
      </c>
      <c r="Q1" s="38"/>
      <c r="R1" s="41" t="s">
        <v>14</v>
      </c>
      <c r="S1" s="41"/>
      <c r="T1" s="41"/>
      <c r="U1" s="37" t="s">
        <v>34</v>
      </c>
      <c r="V1" s="38"/>
      <c r="W1" s="41" t="s">
        <v>18</v>
      </c>
      <c r="X1" s="41"/>
      <c r="Y1" s="41"/>
      <c r="Z1" s="37" t="s">
        <v>34</v>
      </c>
      <c r="AA1" s="38"/>
      <c r="AB1" s="4" t="s">
        <v>22</v>
      </c>
      <c r="AC1" s="39" t="s">
        <v>34</v>
      </c>
      <c r="AD1" s="40"/>
      <c r="AE1" s="3"/>
      <c r="AF1" s="27"/>
    </row>
    <row r="2" spans="1:34" s="1" customFormat="1" ht="43.2" x14ac:dyDescent="0.3">
      <c r="A2" s="5" t="s">
        <v>0</v>
      </c>
      <c r="B2" s="5" t="s">
        <v>1</v>
      </c>
      <c r="C2" s="8" t="s">
        <v>3</v>
      </c>
      <c r="D2" s="8" t="s">
        <v>4</v>
      </c>
      <c r="E2" s="8" t="s">
        <v>5</v>
      </c>
      <c r="F2" s="7" t="s">
        <v>35</v>
      </c>
      <c r="G2" s="42">
        <f>AVERAGE(C3:E5,C7:E8,C10:E11,C13:E15,C16:E17)</f>
        <v>3.7777777777777777</v>
      </c>
      <c r="H2" s="8" t="s">
        <v>7</v>
      </c>
      <c r="I2" s="8" t="s">
        <v>8</v>
      </c>
      <c r="J2" s="8" t="s">
        <v>9</v>
      </c>
      <c r="K2" s="7" t="s">
        <v>35</v>
      </c>
      <c r="L2" s="42">
        <f>AVERAGE(H3:J5,H7:J8,H10:J11,H13:J15,H16:J17)</f>
        <v>3.8611111111111112</v>
      </c>
      <c r="M2" s="8" t="s">
        <v>11</v>
      </c>
      <c r="N2" s="8" t="s">
        <v>12</v>
      </c>
      <c r="O2" s="8" t="s">
        <v>13</v>
      </c>
      <c r="P2" s="7" t="s">
        <v>35</v>
      </c>
      <c r="Q2" s="42">
        <f>AVERAGE(M3:O5,M7:O8,M10:O11,M13:O15,M16:O17)</f>
        <v>3.3888888888888888</v>
      </c>
      <c r="R2" s="8" t="s">
        <v>15</v>
      </c>
      <c r="S2" s="8" t="s">
        <v>16</v>
      </c>
      <c r="T2" s="8" t="s">
        <v>17</v>
      </c>
      <c r="U2" s="7" t="s">
        <v>35</v>
      </c>
      <c r="V2" s="42">
        <f>AVERAGE(R3:T5,R7:T8,R10:T11,R13:T15,R16:T17)</f>
        <v>3.7777777777777777</v>
      </c>
      <c r="W2" s="8" t="s">
        <v>19</v>
      </c>
      <c r="X2" s="8" t="s">
        <v>20</v>
      </c>
      <c r="Y2" s="8" t="s">
        <v>21</v>
      </c>
      <c r="Z2" s="7" t="s">
        <v>35</v>
      </c>
      <c r="AA2" s="42">
        <f>AVERAGE(W3:Y5,W7:Y8,W10:Y11,W13:Y15,W16:Y17)</f>
        <v>3.6944444444444446</v>
      </c>
      <c r="AB2" s="8" t="s">
        <v>23</v>
      </c>
      <c r="AC2" s="7" t="s">
        <v>35</v>
      </c>
      <c r="AD2" s="42">
        <f>AVERAGE(AD3:AD5,AD7:AD8,AD10:AD11,AD13:AD15,AD16:AD17)</f>
        <v>3.6999999999999993</v>
      </c>
      <c r="AE2" s="6" t="s">
        <v>24</v>
      </c>
      <c r="AF2" s="28"/>
    </row>
    <row r="3" spans="1:34" ht="54.6" customHeight="1" x14ac:dyDescent="0.3">
      <c r="A3" s="31" t="s">
        <v>49</v>
      </c>
      <c r="B3" s="31" t="s">
        <v>31</v>
      </c>
      <c r="C3" s="11">
        <v>3</v>
      </c>
      <c r="D3" s="11">
        <v>4</v>
      </c>
      <c r="E3" s="11">
        <v>5</v>
      </c>
      <c r="F3" s="12">
        <f>SUM(C3:E3)</f>
        <v>12</v>
      </c>
      <c r="G3" s="12">
        <f>IFERROR(AVERAGE(C3:E3),"")</f>
        <v>4</v>
      </c>
      <c r="H3" s="11">
        <v>3</v>
      </c>
      <c r="I3" s="11">
        <v>4</v>
      </c>
      <c r="J3" s="11">
        <v>4</v>
      </c>
      <c r="K3" s="12">
        <f>SUM(H3:J3)</f>
        <v>11</v>
      </c>
      <c r="L3" s="12">
        <f>IFERROR(AVERAGE(H3:J3),"")</f>
        <v>3.6666666666666665</v>
      </c>
      <c r="M3" s="11">
        <v>4</v>
      </c>
      <c r="N3" s="11">
        <v>3</v>
      </c>
      <c r="O3" s="11">
        <v>3</v>
      </c>
      <c r="P3" s="12">
        <f>SUM(M3:O3)</f>
        <v>10</v>
      </c>
      <c r="Q3" s="12">
        <f>IFERROR(AVERAGE(M3:O3),"")</f>
        <v>3.3333333333333335</v>
      </c>
      <c r="R3" s="11">
        <v>4</v>
      </c>
      <c r="S3" s="11">
        <v>5</v>
      </c>
      <c r="T3" s="11">
        <v>4</v>
      </c>
      <c r="U3" s="12">
        <f>SUM(R3:T3)</f>
        <v>13</v>
      </c>
      <c r="V3" s="12">
        <f>IFERROR(AVERAGE(R3:T3),"")</f>
        <v>4.333333333333333</v>
      </c>
      <c r="W3" s="11">
        <v>4</v>
      </c>
      <c r="X3" s="11">
        <v>4</v>
      </c>
      <c r="Y3" s="11">
        <v>3</v>
      </c>
      <c r="Z3" s="12">
        <f>SUM(W3:Y3)</f>
        <v>11</v>
      </c>
      <c r="AA3" s="12">
        <f>IFERROR(AVERAGE(W3:Y3),"")</f>
        <v>3.6666666666666665</v>
      </c>
      <c r="AB3" s="11" t="s">
        <v>37</v>
      </c>
      <c r="AC3" s="11">
        <f>SUM(Z3,U3,P3,K3,F3)</f>
        <v>57</v>
      </c>
      <c r="AD3" s="13">
        <f>IFERROR(AVERAGE(AA3,V3,Q3,L3,G3),"")</f>
        <v>3.8</v>
      </c>
      <c r="AE3" s="23" t="s">
        <v>48</v>
      </c>
      <c r="AF3" s="29">
        <f>LEN(AE3)</f>
        <v>294</v>
      </c>
      <c r="AG3" s="26" t="s">
        <v>31</v>
      </c>
      <c r="AH3" s="43">
        <f>AVERAGEIFS($AD$3:$AD$17,$B$3:$B$17,AG3)</f>
        <v>3.6666666666666665</v>
      </c>
    </row>
    <row r="4" spans="1:34" ht="57.6" x14ac:dyDescent="0.3">
      <c r="A4" s="31" t="s">
        <v>50</v>
      </c>
      <c r="B4" s="31" t="s">
        <v>31</v>
      </c>
      <c r="C4" s="11">
        <v>4</v>
      </c>
      <c r="D4" s="11">
        <v>5</v>
      </c>
      <c r="E4" s="11">
        <v>4</v>
      </c>
      <c r="F4" s="12">
        <f t="shared" ref="F4:F17" si="0">SUM(C4:E4)</f>
        <v>13</v>
      </c>
      <c r="G4" s="12">
        <f t="shared" ref="G4:G17" si="1">IFERROR(AVERAGE(C4:E4),"")</f>
        <v>4.333333333333333</v>
      </c>
      <c r="H4" s="11">
        <v>5</v>
      </c>
      <c r="I4" s="11">
        <v>4</v>
      </c>
      <c r="J4" s="11">
        <v>4</v>
      </c>
      <c r="K4" s="12">
        <f t="shared" ref="K4:K17" si="2">SUM(H4:J4)</f>
        <v>13</v>
      </c>
      <c r="L4" s="12">
        <f t="shared" ref="L4:L17" si="3">IFERROR(AVERAGE(H4:J4),"")</f>
        <v>4.333333333333333</v>
      </c>
      <c r="M4" s="11">
        <v>4</v>
      </c>
      <c r="N4" s="11">
        <v>3</v>
      </c>
      <c r="O4" s="11">
        <v>3</v>
      </c>
      <c r="P4" s="12">
        <f t="shared" ref="P4:P17" si="4">SUM(M4:O4)</f>
        <v>10</v>
      </c>
      <c r="Q4" s="12">
        <f t="shared" ref="Q4:Q17" si="5">IFERROR(AVERAGE(M4:O4),"")</f>
        <v>3.3333333333333335</v>
      </c>
      <c r="R4" s="11">
        <v>3</v>
      </c>
      <c r="S4" s="11">
        <v>4</v>
      </c>
      <c r="T4" s="11">
        <v>4</v>
      </c>
      <c r="U4" s="12">
        <f t="shared" ref="U4:U17" si="6">SUM(R4:T4)</f>
        <v>11</v>
      </c>
      <c r="V4" s="12">
        <f t="shared" ref="V4:V17" si="7">IFERROR(AVERAGE(R4:T4),"")</f>
        <v>3.6666666666666665</v>
      </c>
      <c r="W4" s="11">
        <v>4</v>
      </c>
      <c r="X4" s="11">
        <v>4</v>
      </c>
      <c r="Y4" s="11">
        <v>4</v>
      </c>
      <c r="Z4" s="12">
        <f t="shared" ref="Z4:Z17" si="8">SUM(W4:Y4)</f>
        <v>12</v>
      </c>
      <c r="AA4" s="12">
        <f t="shared" ref="AA4:AA17" si="9">IFERROR(AVERAGE(W4:Y4),"")</f>
        <v>4</v>
      </c>
      <c r="AB4" s="11" t="s">
        <v>37</v>
      </c>
      <c r="AC4" s="11">
        <f t="shared" ref="AC4:AC17" si="10">SUM(Z4,U4,P4,K4,F4)</f>
        <v>59</v>
      </c>
      <c r="AD4" s="13">
        <f t="shared" ref="AD4:AD17" si="11">IFERROR(AVERAGE(AA4,V4,Q4,L4,G4),"")</f>
        <v>3.9333333333333327</v>
      </c>
      <c r="AE4" s="23" t="s">
        <v>43</v>
      </c>
      <c r="AF4" s="29">
        <f>LEN(AE4)</f>
        <v>283</v>
      </c>
      <c r="AG4" s="26" t="s">
        <v>32</v>
      </c>
      <c r="AH4" s="43">
        <f>AVERAGEIFS($AD$3:$AD$17,$B$3:$B$17,AG4)</f>
        <v>3.7333333333333329</v>
      </c>
    </row>
    <row r="5" spans="1:34" ht="57.6" x14ac:dyDescent="0.3">
      <c r="A5" s="31" t="s">
        <v>51</v>
      </c>
      <c r="B5" s="31" t="s">
        <v>32</v>
      </c>
      <c r="C5" s="11">
        <v>3</v>
      </c>
      <c r="D5" s="11">
        <v>5</v>
      </c>
      <c r="E5" s="11">
        <v>4</v>
      </c>
      <c r="F5" s="12">
        <f t="shared" si="0"/>
        <v>12</v>
      </c>
      <c r="G5" s="12">
        <f t="shared" si="1"/>
        <v>4</v>
      </c>
      <c r="H5" s="11">
        <v>4</v>
      </c>
      <c r="I5" s="11">
        <v>3</v>
      </c>
      <c r="J5" s="11">
        <v>4</v>
      </c>
      <c r="K5" s="12">
        <f t="shared" si="2"/>
        <v>11</v>
      </c>
      <c r="L5" s="12">
        <f t="shared" si="3"/>
        <v>3.6666666666666665</v>
      </c>
      <c r="M5" s="11">
        <v>4</v>
      </c>
      <c r="N5" s="11">
        <v>5</v>
      </c>
      <c r="O5" s="11">
        <v>3</v>
      </c>
      <c r="P5" s="12">
        <f t="shared" si="4"/>
        <v>12</v>
      </c>
      <c r="Q5" s="12">
        <f t="shared" si="5"/>
        <v>4</v>
      </c>
      <c r="R5" s="11">
        <v>3</v>
      </c>
      <c r="S5" s="11">
        <v>4</v>
      </c>
      <c r="T5" s="11">
        <v>4</v>
      </c>
      <c r="U5" s="12">
        <f t="shared" si="6"/>
        <v>11</v>
      </c>
      <c r="V5" s="12">
        <f t="shared" si="7"/>
        <v>3.6666666666666665</v>
      </c>
      <c r="W5" s="11">
        <v>4</v>
      </c>
      <c r="X5" s="11">
        <v>3</v>
      </c>
      <c r="Y5" s="11">
        <v>3</v>
      </c>
      <c r="Z5" s="12">
        <f t="shared" si="8"/>
        <v>10</v>
      </c>
      <c r="AA5" s="12">
        <f t="shared" si="9"/>
        <v>3.3333333333333335</v>
      </c>
      <c r="AB5" s="11" t="s">
        <v>36</v>
      </c>
      <c r="AC5" s="11">
        <f t="shared" si="10"/>
        <v>56</v>
      </c>
      <c r="AD5" s="13">
        <f t="shared" si="11"/>
        <v>3.7333333333333329</v>
      </c>
      <c r="AE5" s="23" t="s">
        <v>61</v>
      </c>
      <c r="AF5" s="29">
        <f>LEN(AE5)</f>
        <v>298</v>
      </c>
    </row>
    <row r="6" spans="1:34" ht="4.8" customHeight="1" x14ac:dyDescent="0.3">
      <c r="A6" s="32"/>
      <c r="B6" s="32"/>
      <c r="C6" s="14"/>
      <c r="D6" s="14"/>
      <c r="E6" s="14"/>
      <c r="F6" s="15"/>
      <c r="G6" s="15"/>
      <c r="H6" s="14"/>
      <c r="I6" s="14"/>
      <c r="J6" s="14"/>
      <c r="K6" s="15"/>
      <c r="L6" s="15"/>
      <c r="M6" s="14"/>
      <c r="N6" s="14"/>
      <c r="O6" s="14"/>
      <c r="P6" s="15"/>
      <c r="Q6" s="15"/>
      <c r="R6" s="14"/>
      <c r="S6" s="14"/>
      <c r="T6" s="14"/>
      <c r="U6" s="15"/>
      <c r="V6" s="15"/>
      <c r="W6" s="14"/>
      <c r="X6" s="14"/>
      <c r="Y6" s="14"/>
      <c r="Z6" s="15"/>
      <c r="AA6" s="15"/>
      <c r="AB6" s="14"/>
      <c r="AC6" s="14"/>
      <c r="AD6" s="16"/>
      <c r="AE6" s="10"/>
    </row>
    <row r="7" spans="1:34" ht="57.6" x14ac:dyDescent="0.3">
      <c r="A7" s="31" t="s">
        <v>52</v>
      </c>
      <c r="B7" s="31" t="s">
        <v>31</v>
      </c>
      <c r="C7" s="11">
        <v>5</v>
      </c>
      <c r="D7" s="11">
        <v>4</v>
      </c>
      <c r="E7" s="11">
        <v>3</v>
      </c>
      <c r="F7" s="12">
        <f t="shared" si="0"/>
        <v>12</v>
      </c>
      <c r="G7" s="12">
        <f t="shared" si="1"/>
        <v>4</v>
      </c>
      <c r="H7" s="11">
        <v>3</v>
      </c>
      <c r="I7" s="11">
        <v>4</v>
      </c>
      <c r="J7" s="11">
        <v>3</v>
      </c>
      <c r="K7" s="12">
        <f t="shared" si="2"/>
        <v>10</v>
      </c>
      <c r="L7" s="12">
        <f t="shared" si="3"/>
        <v>3.3333333333333335</v>
      </c>
      <c r="M7" s="11">
        <v>3</v>
      </c>
      <c r="N7" s="11">
        <v>4</v>
      </c>
      <c r="O7" s="11">
        <v>3</v>
      </c>
      <c r="P7" s="12">
        <f t="shared" si="4"/>
        <v>10</v>
      </c>
      <c r="Q7" s="12">
        <f t="shared" si="5"/>
        <v>3.3333333333333335</v>
      </c>
      <c r="R7" s="11">
        <v>5</v>
      </c>
      <c r="S7" s="11">
        <v>3</v>
      </c>
      <c r="T7" s="11">
        <v>4</v>
      </c>
      <c r="U7" s="12">
        <f t="shared" si="6"/>
        <v>12</v>
      </c>
      <c r="V7" s="12">
        <f t="shared" si="7"/>
        <v>4</v>
      </c>
      <c r="W7" s="11">
        <v>3</v>
      </c>
      <c r="X7" s="11">
        <v>4</v>
      </c>
      <c r="Y7" s="11">
        <v>4</v>
      </c>
      <c r="Z7" s="12">
        <f t="shared" si="8"/>
        <v>11</v>
      </c>
      <c r="AA7" s="12">
        <f t="shared" si="9"/>
        <v>3.6666666666666665</v>
      </c>
      <c r="AB7" s="11" t="s">
        <v>36</v>
      </c>
      <c r="AC7" s="11">
        <f t="shared" si="10"/>
        <v>55</v>
      </c>
      <c r="AD7" s="13">
        <f t="shared" si="11"/>
        <v>3.666666666666667</v>
      </c>
      <c r="AE7" s="9" t="s">
        <v>38</v>
      </c>
      <c r="AF7" s="29">
        <f>LEN(AE7)</f>
        <v>296</v>
      </c>
    </row>
    <row r="8" spans="1:34" ht="57.6" x14ac:dyDescent="0.3">
      <c r="A8" s="31" t="s">
        <v>53</v>
      </c>
      <c r="B8" s="31" t="s">
        <v>31</v>
      </c>
      <c r="C8" s="11">
        <v>3</v>
      </c>
      <c r="D8" s="11">
        <v>3</v>
      </c>
      <c r="E8" s="11">
        <v>4</v>
      </c>
      <c r="F8" s="12">
        <f t="shared" si="0"/>
        <v>10</v>
      </c>
      <c r="G8" s="12">
        <f t="shared" si="1"/>
        <v>3.3333333333333335</v>
      </c>
      <c r="H8" s="11">
        <v>3</v>
      </c>
      <c r="I8" s="11">
        <v>4</v>
      </c>
      <c r="J8" s="11">
        <v>4</v>
      </c>
      <c r="K8" s="12">
        <f t="shared" si="2"/>
        <v>11</v>
      </c>
      <c r="L8" s="12">
        <f t="shared" si="3"/>
        <v>3.6666666666666665</v>
      </c>
      <c r="M8" s="11">
        <v>3</v>
      </c>
      <c r="N8" s="11">
        <v>3</v>
      </c>
      <c r="O8" s="11">
        <v>3</v>
      </c>
      <c r="P8" s="12">
        <f t="shared" si="4"/>
        <v>9</v>
      </c>
      <c r="Q8" s="12">
        <f t="shared" si="5"/>
        <v>3</v>
      </c>
      <c r="R8" s="11">
        <v>3</v>
      </c>
      <c r="S8" s="11">
        <v>4</v>
      </c>
      <c r="T8" s="11">
        <v>4</v>
      </c>
      <c r="U8" s="12">
        <f t="shared" si="6"/>
        <v>11</v>
      </c>
      <c r="V8" s="12">
        <f t="shared" si="7"/>
        <v>3.6666666666666665</v>
      </c>
      <c r="W8" s="11">
        <v>4</v>
      </c>
      <c r="X8" s="11">
        <v>4</v>
      </c>
      <c r="Y8" s="11">
        <v>3</v>
      </c>
      <c r="Z8" s="12">
        <f t="shared" si="8"/>
        <v>11</v>
      </c>
      <c r="AA8" s="12">
        <f t="shared" si="9"/>
        <v>3.6666666666666665</v>
      </c>
      <c r="AB8" s="11" t="s">
        <v>36</v>
      </c>
      <c r="AC8" s="11">
        <f t="shared" si="10"/>
        <v>52</v>
      </c>
      <c r="AD8" s="13">
        <f t="shared" si="11"/>
        <v>3.4666666666666663</v>
      </c>
      <c r="AE8" s="9" t="s">
        <v>44</v>
      </c>
      <c r="AF8" s="29">
        <f>LEN(AE8)</f>
        <v>297</v>
      </c>
    </row>
    <row r="9" spans="1:34" ht="4.8" customHeight="1" x14ac:dyDescent="0.3">
      <c r="A9" s="32"/>
      <c r="B9" s="32"/>
      <c r="C9" s="14"/>
      <c r="D9" s="14"/>
      <c r="E9" s="14"/>
      <c r="F9" s="15"/>
      <c r="G9" s="15"/>
      <c r="H9" s="14"/>
      <c r="I9" s="14"/>
      <c r="J9" s="14"/>
      <c r="K9" s="15"/>
      <c r="L9" s="15"/>
      <c r="M9" s="14"/>
      <c r="N9" s="14"/>
      <c r="O9" s="14"/>
      <c r="P9" s="15"/>
      <c r="Q9" s="15"/>
      <c r="R9" s="14"/>
      <c r="S9" s="14"/>
      <c r="T9" s="14"/>
      <c r="U9" s="15"/>
      <c r="V9" s="15"/>
      <c r="W9" s="14"/>
      <c r="X9" s="14"/>
      <c r="Y9" s="14"/>
      <c r="Z9" s="15"/>
      <c r="AA9" s="15"/>
      <c r="AB9" s="14"/>
      <c r="AC9" s="14"/>
      <c r="AD9" s="16"/>
      <c r="AE9" s="10"/>
    </row>
    <row r="10" spans="1:34" ht="57.6" x14ac:dyDescent="0.3">
      <c r="A10" s="31" t="s">
        <v>54</v>
      </c>
      <c r="B10" s="31" t="s">
        <v>31</v>
      </c>
      <c r="C10" s="11">
        <v>3</v>
      </c>
      <c r="D10" s="11">
        <v>4</v>
      </c>
      <c r="E10" s="11">
        <v>3</v>
      </c>
      <c r="F10" s="12">
        <f t="shared" si="0"/>
        <v>10</v>
      </c>
      <c r="G10" s="12">
        <f t="shared" si="1"/>
        <v>3.3333333333333335</v>
      </c>
      <c r="H10" s="11">
        <v>4</v>
      </c>
      <c r="I10" s="11">
        <v>4</v>
      </c>
      <c r="J10" s="11">
        <v>4</v>
      </c>
      <c r="K10" s="12">
        <f t="shared" si="2"/>
        <v>12</v>
      </c>
      <c r="L10" s="12">
        <f t="shared" si="3"/>
        <v>4</v>
      </c>
      <c r="M10" s="11">
        <v>3</v>
      </c>
      <c r="N10" s="11">
        <v>3</v>
      </c>
      <c r="O10" s="11">
        <v>3</v>
      </c>
      <c r="P10" s="12">
        <f t="shared" si="4"/>
        <v>9</v>
      </c>
      <c r="Q10" s="12">
        <f t="shared" si="5"/>
        <v>3</v>
      </c>
      <c r="R10" s="11">
        <v>3</v>
      </c>
      <c r="S10" s="11">
        <v>3</v>
      </c>
      <c r="T10" s="11">
        <v>4</v>
      </c>
      <c r="U10" s="12">
        <f t="shared" si="6"/>
        <v>10</v>
      </c>
      <c r="V10" s="12">
        <f t="shared" si="7"/>
        <v>3.3333333333333335</v>
      </c>
      <c r="W10" s="11">
        <v>4</v>
      </c>
      <c r="X10" s="11">
        <v>4</v>
      </c>
      <c r="Y10" s="11">
        <v>3</v>
      </c>
      <c r="Z10" s="12">
        <f t="shared" si="8"/>
        <v>11</v>
      </c>
      <c r="AA10" s="12">
        <f t="shared" si="9"/>
        <v>3.6666666666666665</v>
      </c>
      <c r="AB10" s="11" t="s">
        <v>36</v>
      </c>
      <c r="AC10" s="11">
        <f t="shared" si="10"/>
        <v>52</v>
      </c>
      <c r="AD10" s="13">
        <f t="shared" si="11"/>
        <v>3.4666666666666663</v>
      </c>
      <c r="AE10" s="23" t="s">
        <v>39</v>
      </c>
      <c r="AF10" s="29">
        <f>LEN(AE10)</f>
        <v>284</v>
      </c>
    </row>
    <row r="11" spans="1:34" ht="62.4" customHeight="1" x14ac:dyDescent="0.3">
      <c r="A11" s="31" t="s">
        <v>55</v>
      </c>
      <c r="B11" s="31" t="s">
        <v>32</v>
      </c>
      <c r="C11" s="11">
        <v>3</v>
      </c>
      <c r="D11" s="11">
        <v>3</v>
      </c>
      <c r="E11" s="11">
        <v>5</v>
      </c>
      <c r="F11" s="12">
        <f t="shared" si="0"/>
        <v>11</v>
      </c>
      <c r="G11" s="12">
        <f t="shared" si="1"/>
        <v>3.6666666666666665</v>
      </c>
      <c r="H11" s="11">
        <v>3</v>
      </c>
      <c r="I11" s="11">
        <v>4</v>
      </c>
      <c r="J11" s="11">
        <v>4</v>
      </c>
      <c r="K11" s="12">
        <f t="shared" si="2"/>
        <v>11</v>
      </c>
      <c r="L11" s="12">
        <f t="shared" si="3"/>
        <v>3.6666666666666665</v>
      </c>
      <c r="M11" s="11">
        <v>4</v>
      </c>
      <c r="N11" s="11">
        <v>3</v>
      </c>
      <c r="O11" s="11">
        <v>3</v>
      </c>
      <c r="P11" s="12">
        <f t="shared" si="4"/>
        <v>10</v>
      </c>
      <c r="Q11" s="12">
        <f t="shared" si="5"/>
        <v>3.3333333333333335</v>
      </c>
      <c r="R11" s="11">
        <v>3</v>
      </c>
      <c r="S11" s="11">
        <v>4</v>
      </c>
      <c r="T11" s="11">
        <v>4</v>
      </c>
      <c r="U11" s="12">
        <f t="shared" si="6"/>
        <v>11</v>
      </c>
      <c r="V11" s="12">
        <f t="shared" si="7"/>
        <v>3.6666666666666665</v>
      </c>
      <c r="W11" s="11">
        <v>4</v>
      </c>
      <c r="X11" s="11">
        <v>4</v>
      </c>
      <c r="Y11" s="11">
        <v>3</v>
      </c>
      <c r="Z11" s="12">
        <f t="shared" si="8"/>
        <v>11</v>
      </c>
      <c r="AA11" s="12">
        <f t="shared" si="9"/>
        <v>3.6666666666666665</v>
      </c>
      <c r="AB11" s="11" t="s">
        <v>36</v>
      </c>
      <c r="AC11" s="11">
        <f t="shared" si="10"/>
        <v>54</v>
      </c>
      <c r="AD11" s="13">
        <f t="shared" si="11"/>
        <v>3.6</v>
      </c>
      <c r="AE11" s="23" t="s">
        <v>45</v>
      </c>
      <c r="AF11" s="29">
        <f>LEN(AE11)</f>
        <v>282</v>
      </c>
    </row>
    <row r="12" spans="1:34" ht="4.8" customHeight="1" x14ac:dyDescent="0.3">
      <c r="A12" s="32"/>
      <c r="B12" s="32"/>
      <c r="C12" s="14"/>
      <c r="D12" s="14"/>
      <c r="E12" s="14"/>
      <c r="F12" s="15"/>
      <c r="G12" s="15"/>
      <c r="H12" s="14"/>
      <c r="I12" s="14"/>
      <c r="J12" s="14"/>
      <c r="K12" s="15"/>
      <c r="L12" s="15"/>
      <c r="M12" s="14"/>
      <c r="N12" s="14"/>
      <c r="O12" s="14"/>
      <c r="P12" s="15"/>
      <c r="Q12" s="15"/>
      <c r="R12" s="14"/>
      <c r="S12" s="14"/>
      <c r="T12" s="14"/>
      <c r="U12" s="15"/>
      <c r="V12" s="15"/>
      <c r="W12" s="14"/>
      <c r="X12" s="14"/>
      <c r="Y12" s="14"/>
      <c r="Z12" s="15"/>
      <c r="AA12" s="15"/>
      <c r="AB12" s="14"/>
      <c r="AC12" s="14"/>
      <c r="AD12" s="16"/>
      <c r="AE12" s="10"/>
    </row>
    <row r="13" spans="1:34" ht="57.6" x14ac:dyDescent="0.3">
      <c r="A13" s="31" t="s">
        <v>56</v>
      </c>
      <c r="B13" s="31" t="s">
        <v>32</v>
      </c>
      <c r="C13" s="11">
        <v>3</v>
      </c>
      <c r="D13" s="11">
        <v>3</v>
      </c>
      <c r="E13" s="11">
        <v>4</v>
      </c>
      <c r="F13" s="12">
        <f t="shared" si="0"/>
        <v>10</v>
      </c>
      <c r="G13" s="12">
        <f t="shared" si="1"/>
        <v>3.3333333333333335</v>
      </c>
      <c r="H13" s="11">
        <v>3</v>
      </c>
      <c r="I13" s="11">
        <v>4</v>
      </c>
      <c r="J13" s="11">
        <v>4</v>
      </c>
      <c r="K13" s="12">
        <f t="shared" si="2"/>
        <v>11</v>
      </c>
      <c r="L13" s="12">
        <f t="shared" si="3"/>
        <v>3.6666666666666665</v>
      </c>
      <c r="M13" s="11">
        <v>3</v>
      </c>
      <c r="N13" s="11">
        <v>3</v>
      </c>
      <c r="O13" s="11">
        <v>3</v>
      </c>
      <c r="P13" s="12">
        <f t="shared" si="4"/>
        <v>9</v>
      </c>
      <c r="Q13" s="12">
        <f t="shared" si="5"/>
        <v>3</v>
      </c>
      <c r="R13" s="11">
        <v>3</v>
      </c>
      <c r="S13" s="11">
        <v>4</v>
      </c>
      <c r="T13" s="11">
        <v>4</v>
      </c>
      <c r="U13" s="12">
        <f t="shared" si="6"/>
        <v>11</v>
      </c>
      <c r="V13" s="12">
        <f t="shared" si="7"/>
        <v>3.6666666666666665</v>
      </c>
      <c r="W13" s="11">
        <v>3</v>
      </c>
      <c r="X13" s="11">
        <v>4</v>
      </c>
      <c r="Y13" s="11">
        <v>3</v>
      </c>
      <c r="Z13" s="12">
        <f t="shared" si="8"/>
        <v>10</v>
      </c>
      <c r="AA13" s="12">
        <f t="shared" si="9"/>
        <v>3.3333333333333335</v>
      </c>
      <c r="AB13" s="11" t="s">
        <v>36</v>
      </c>
      <c r="AC13" s="11">
        <f t="shared" si="10"/>
        <v>51</v>
      </c>
      <c r="AD13" s="13">
        <f t="shared" si="11"/>
        <v>3.4</v>
      </c>
      <c r="AE13" s="23" t="s">
        <v>40</v>
      </c>
      <c r="AF13" s="29">
        <f>LEN(AE13)</f>
        <v>293</v>
      </c>
    </row>
    <row r="14" spans="1:34" ht="57.6" x14ac:dyDescent="0.3">
      <c r="A14" s="31" t="s">
        <v>57</v>
      </c>
      <c r="B14" s="31" t="s">
        <v>32</v>
      </c>
      <c r="C14" s="11">
        <v>5</v>
      </c>
      <c r="D14" s="11">
        <v>3</v>
      </c>
      <c r="E14" s="11">
        <v>4</v>
      </c>
      <c r="F14" s="12">
        <f t="shared" si="0"/>
        <v>12</v>
      </c>
      <c r="G14" s="12">
        <f t="shared" si="1"/>
        <v>4</v>
      </c>
      <c r="H14" s="11">
        <v>5</v>
      </c>
      <c r="I14" s="11">
        <v>4</v>
      </c>
      <c r="J14" s="11">
        <v>4</v>
      </c>
      <c r="K14" s="12">
        <f t="shared" si="2"/>
        <v>13</v>
      </c>
      <c r="L14" s="12">
        <f t="shared" si="3"/>
        <v>4.333333333333333</v>
      </c>
      <c r="M14" s="11">
        <v>4</v>
      </c>
      <c r="N14" s="11">
        <v>4</v>
      </c>
      <c r="O14" s="11">
        <v>3</v>
      </c>
      <c r="P14" s="12">
        <f t="shared" si="4"/>
        <v>11</v>
      </c>
      <c r="Q14" s="12">
        <f t="shared" si="5"/>
        <v>3.6666666666666665</v>
      </c>
      <c r="R14" s="11">
        <v>3</v>
      </c>
      <c r="S14" s="11">
        <v>4</v>
      </c>
      <c r="T14" s="11">
        <v>4</v>
      </c>
      <c r="U14" s="12">
        <f t="shared" si="6"/>
        <v>11</v>
      </c>
      <c r="V14" s="12">
        <f t="shared" si="7"/>
        <v>3.6666666666666665</v>
      </c>
      <c r="W14" s="11">
        <v>4</v>
      </c>
      <c r="X14" s="11">
        <v>5</v>
      </c>
      <c r="Y14" s="11">
        <v>3</v>
      </c>
      <c r="Z14" s="12">
        <f t="shared" si="8"/>
        <v>12</v>
      </c>
      <c r="AA14" s="12">
        <f t="shared" si="9"/>
        <v>4</v>
      </c>
      <c r="AB14" s="11" t="s">
        <v>37</v>
      </c>
      <c r="AC14" s="11">
        <f t="shared" si="10"/>
        <v>59</v>
      </c>
      <c r="AD14" s="13">
        <f t="shared" si="11"/>
        <v>3.9333333333333327</v>
      </c>
      <c r="AE14" s="23" t="s">
        <v>46</v>
      </c>
      <c r="AF14" s="29">
        <f>LEN(AE14)</f>
        <v>294</v>
      </c>
    </row>
    <row r="15" spans="1:34" ht="58.2" thickBot="1" x14ac:dyDescent="0.35">
      <c r="A15" s="33" t="s">
        <v>58</v>
      </c>
      <c r="B15" s="33" t="s">
        <v>32</v>
      </c>
      <c r="C15" s="17">
        <v>3</v>
      </c>
      <c r="D15" s="17">
        <v>4</v>
      </c>
      <c r="E15" s="17">
        <v>4</v>
      </c>
      <c r="F15" s="18">
        <f t="shared" si="0"/>
        <v>11</v>
      </c>
      <c r="G15" s="18">
        <f t="shared" si="1"/>
        <v>3.6666666666666665</v>
      </c>
      <c r="H15" s="17">
        <v>3</v>
      </c>
      <c r="I15" s="17">
        <v>4</v>
      </c>
      <c r="J15" s="17">
        <v>4</v>
      </c>
      <c r="K15" s="18">
        <f t="shared" si="2"/>
        <v>11</v>
      </c>
      <c r="L15" s="18">
        <f t="shared" si="3"/>
        <v>3.6666666666666665</v>
      </c>
      <c r="M15" s="17">
        <v>4</v>
      </c>
      <c r="N15" s="17">
        <v>3</v>
      </c>
      <c r="O15" s="17">
        <v>3</v>
      </c>
      <c r="P15" s="18">
        <f t="shared" si="4"/>
        <v>10</v>
      </c>
      <c r="Q15" s="18">
        <f t="shared" si="5"/>
        <v>3.3333333333333335</v>
      </c>
      <c r="R15" s="17">
        <v>5</v>
      </c>
      <c r="S15" s="17">
        <v>4</v>
      </c>
      <c r="T15" s="17">
        <v>4</v>
      </c>
      <c r="U15" s="18">
        <f t="shared" si="6"/>
        <v>13</v>
      </c>
      <c r="V15" s="18">
        <f t="shared" si="7"/>
        <v>4.333333333333333</v>
      </c>
      <c r="W15" s="17">
        <v>4</v>
      </c>
      <c r="X15" s="17">
        <v>4</v>
      </c>
      <c r="Y15" s="17">
        <v>3</v>
      </c>
      <c r="Z15" s="18">
        <f t="shared" si="8"/>
        <v>11</v>
      </c>
      <c r="AA15" s="18">
        <f t="shared" si="9"/>
        <v>3.6666666666666665</v>
      </c>
      <c r="AB15" s="17" t="s">
        <v>36</v>
      </c>
      <c r="AC15" s="17">
        <f t="shared" si="10"/>
        <v>56</v>
      </c>
      <c r="AD15" s="19">
        <f t="shared" si="11"/>
        <v>3.7333333333333334</v>
      </c>
      <c r="AE15" s="24" t="s">
        <v>41</v>
      </c>
      <c r="AF15" s="29">
        <f>LEN(AE15)</f>
        <v>296</v>
      </c>
    </row>
    <row r="16" spans="1:34" ht="57.6" x14ac:dyDescent="0.3">
      <c r="A16" s="34" t="s">
        <v>59</v>
      </c>
      <c r="B16" s="34" t="s">
        <v>33</v>
      </c>
      <c r="C16" s="20">
        <v>4</v>
      </c>
      <c r="D16" s="20">
        <v>3</v>
      </c>
      <c r="E16" s="20">
        <v>4</v>
      </c>
      <c r="F16" s="21">
        <f t="shared" si="0"/>
        <v>11</v>
      </c>
      <c r="G16" s="21">
        <f t="shared" si="1"/>
        <v>3.6666666666666665</v>
      </c>
      <c r="H16" s="20">
        <v>4</v>
      </c>
      <c r="I16" s="20">
        <v>4</v>
      </c>
      <c r="J16" s="20">
        <v>4</v>
      </c>
      <c r="K16" s="21">
        <f t="shared" si="2"/>
        <v>12</v>
      </c>
      <c r="L16" s="21">
        <f t="shared" si="3"/>
        <v>4</v>
      </c>
      <c r="M16" s="20">
        <v>4</v>
      </c>
      <c r="N16" s="20">
        <v>3</v>
      </c>
      <c r="O16" s="20">
        <v>3</v>
      </c>
      <c r="P16" s="21">
        <f t="shared" si="4"/>
        <v>10</v>
      </c>
      <c r="Q16" s="21">
        <f t="shared" si="5"/>
        <v>3.3333333333333335</v>
      </c>
      <c r="R16" s="20">
        <v>4</v>
      </c>
      <c r="S16" s="20">
        <v>3</v>
      </c>
      <c r="T16" s="20">
        <v>4</v>
      </c>
      <c r="U16" s="21">
        <f t="shared" si="6"/>
        <v>11</v>
      </c>
      <c r="V16" s="21">
        <f t="shared" si="7"/>
        <v>3.6666666666666665</v>
      </c>
      <c r="W16" s="20">
        <v>4</v>
      </c>
      <c r="X16" s="20">
        <v>4</v>
      </c>
      <c r="Y16" s="20">
        <v>3</v>
      </c>
      <c r="Z16" s="21">
        <f t="shared" si="8"/>
        <v>11</v>
      </c>
      <c r="AA16" s="21">
        <f t="shared" si="9"/>
        <v>3.6666666666666665</v>
      </c>
      <c r="AB16" s="20" t="s">
        <v>36</v>
      </c>
      <c r="AC16" s="20">
        <f t="shared" si="10"/>
        <v>55</v>
      </c>
      <c r="AD16" s="22">
        <f t="shared" si="11"/>
        <v>3.6666666666666665</v>
      </c>
      <c r="AE16" s="25" t="s">
        <v>42</v>
      </c>
      <c r="AF16" s="29">
        <f>LEN(AE16)</f>
        <v>282</v>
      </c>
    </row>
    <row r="17" spans="1:32" ht="61.2" customHeight="1" x14ac:dyDescent="0.3">
      <c r="A17" s="31" t="s">
        <v>60</v>
      </c>
      <c r="B17" s="31" t="s">
        <v>32</v>
      </c>
      <c r="C17" s="11">
        <v>3</v>
      </c>
      <c r="D17" s="11">
        <v>5</v>
      </c>
      <c r="E17" s="11">
        <v>4</v>
      </c>
      <c r="F17" s="12">
        <f t="shared" si="0"/>
        <v>12</v>
      </c>
      <c r="G17" s="12">
        <f t="shared" si="1"/>
        <v>4</v>
      </c>
      <c r="H17" s="11">
        <v>4</v>
      </c>
      <c r="I17" s="11">
        <v>5</v>
      </c>
      <c r="J17" s="11">
        <v>4</v>
      </c>
      <c r="K17" s="12">
        <f t="shared" si="2"/>
        <v>13</v>
      </c>
      <c r="L17" s="12">
        <f t="shared" si="3"/>
        <v>4.333333333333333</v>
      </c>
      <c r="M17" s="11">
        <v>5</v>
      </c>
      <c r="N17" s="11">
        <v>4</v>
      </c>
      <c r="O17" s="11">
        <v>3</v>
      </c>
      <c r="P17" s="12">
        <f t="shared" si="4"/>
        <v>12</v>
      </c>
      <c r="Q17" s="12">
        <f t="shared" si="5"/>
        <v>4</v>
      </c>
      <c r="R17" s="11">
        <v>3</v>
      </c>
      <c r="S17" s="11">
        <v>4</v>
      </c>
      <c r="T17" s="11">
        <v>4</v>
      </c>
      <c r="U17" s="12">
        <f t="shared" si="6"/>
        <v>11</v>
      </c>
      <c r="V17" s="12">
        <f t="shared" si="7"/>
        <v>3.6666666666666665</v>
      </c>
      <c r="W17" s="11">
        <v>5</v>
      </c>
      <c r="X17" s="11">
        <v>4</v>
      </c>
      <c r="Y17" s="11">
        <v>3</v>
      </c>
      <c r="Z17" s="12">
        <f t="shared" si="8"/>
        <v>12</v>
      </c>
      <c r="AA17" s="12">
        <f t="shared" si="9"/>
        <v>4</v>
      </c>
      <c r="AB17" s="11" t="s">
        <v>37</v>
      </c>
      <c r="AC17" s="11">
        <f t="shared" si="10"/>
        <v>60</v>
      </c>
      <c r="AD17" s="13">
        <f t="shared" si="11"/>
        <v>4</v>
      </c>
      <c r="AE17" s="23" t="s">
        <v>47</v>
      </c>
      <c r="AF17" s="29">
        <f>LEN(AE17)</f>
        <v>295</v>
      </c>
    </row>
  </sheetData>
  <mergeCells count="11">
    <mergeCell ref="Z1:AA1"/>
    <mergeCell ref="AC1:AD1"/>
    <mergeCell ref="C1:E1"/>
    <mergeCell ref="H1:J1"/>
    <mergeCell ref="M1:O1"/>
    <mergeCell ref="R1:T1"/>
    <mergeCell ref="W1:Y1"/>
    <mergeCell ref="F1:G1"/>
    <mergeCell ref="K1:L1"/>
    <mergeCell ref="P1:Q1"/>
    <mergeCell ref="U1:V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6AA3E-351A-485D-B0D8-0CBA90409A9F}">
  <dimension ref="A1:E5"/>
  <sheetViews>
    <sheetView workbookViewId="0">
      <selection activeCell="A8" sqref="A8"/>
    </sheetView>
  </sheetViews>
  <sheetFormatPr defaultRowHeight="14.4" x14ac:dyDescent="0.3"/>
  <sheetData>
    <row r="1" spans="1:5" x14ac:dyDescent="0.3">
      <c r="A1" t="s">
        <v>25</v>
      </c>
      <c r="C1">
        <v>1</v>
      </c>
      <c r="E1" t="s">
        <v>30</v>
      </c>
    </row>
    <row r="2" spans="1:5" x14ac:dyDescent="0.3">
      <c r="A2" t="s">
        <v>26</v>
      </c>
      <c r="C2">
        <v>2</v>
      </c>
    </row>
    <row r="3" spans="1:5" x14ac:dyDescent="0.3">
      <c r="A3" t="s">
        <v>27</v>
      </c>
      <c r="C3">
        <v>3</v>
      </c>
    </row>
    <row r="4" spans="1:5" x14ac:dyDescent="0.3">
      <c r="A4" t="s">
        <v>28</v>
      </c>
      <c r="C4">
        <v>4</v>
      </c>
    </row>
    <row r="5" spans="1:5" x14ac:dyDescent="0.3">
      <c r="A5" t="s">
        <v>29</v>
      </c>
      <c r="C5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Pasqualotti Baptista</dc:creator>
  <cp:lastModifiedBy>Victor Pasqualotti Baptista</cp:lastModifiedBy>
  <dcterms:created xsi:type="dcterms:W3CDTF">2025-12-17T21:40:19Z</dcterms:created>
  <dcterms:modified xsi:type="dcterms:W3CDTF">2025-12-19T03:43:12Z</dcterms:modified>
</cp:coreProperties>
</file>